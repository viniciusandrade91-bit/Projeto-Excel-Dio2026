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r Financeiro" sheetId="1" r:id="rId5"/>
    <sheet state="visible" name="Normalize" sheetId="2" r:id="rId6"/>
  </sheets>
  <definedNames/>
  <calcPr/>
</workbook>
</file>

<file path=xl/sharedStrings.xml><?xml version="1.0" encoding="utf-8"?>
<sst xmlns="http://schemas.openxmlformats.org/spreadsheetml/2006/main" count="35" uniqueCount="33">
  <si>
    <t xml:space="preserve">Perfil do Investidor </t>
  </si>
  <si>
    <t xml:space="preserve">% taxa a.a provável </t>
  </si>
  <si>
    <t xml:space="preserve">Fundos indicados </t>
  </si>
  <si>
    <t>Conservador</t>
  </si>
  <si>
    <t>Tijolo Quality</t>
  </si>
  <si>
    <t>Moderado</t>
  </si>
  <si>
    <t>Misto / Carteira IFIX</t>
  </si>
  <si>
    <t>Arrojado</t>
  </si>
  <si>
    <t>Papel / High Yield</t>
  </si>
  <si>
    <t>Diagnóstico e Capacidade de Aporte</t>
  </si>
  <si>
    <t xml:space="preserve">Responda as perguntas a seguir para seguirmos com a sua simulação </t>
  </si>
  <si>
    <t xml:space="preserve">Qual sua renda atual? </t>
  </si>
  <si>
    <t xml:space="preserve">% que o investimento mensal representa do seu salário </t>
  </si>
  <si>
    <t>Qual valor pode investir mensalmente?</t>
  </si>
  <si>
    <t>Possui valor para aporte/investimento inicial?</t>
  </si>
  <si>
    <t>Qual seu perfil de investidor?</t>
  </si>
  <si>
    <t>Selecione seu perfil de investidor</t>
  </si>
  <si>
    <t>dica: veja no seu banco de investimento, responda o questionário por lá para descobrir.</t>
  </si>
  <si>
    <t>Fundos indicados para o perfil</t>
  </si>
  <si>
    <t>Taxa de juros a.a provável de acordo com os fundos indicados</t>
  </si>
  <si>
    <t>Metas de Longo Prazo e Liberdade Financeira</t>
  </si>
  <si>
    <t>Quanto pretende receber de retorno mensalmente no futuro?</t>
  </si>
  <si>
    <t>% de retorno baseado no seu salário atual</t>
  </si>
  <si>
    <t>Em quantos anos deseja atingir seu objetivo?</t>
  </si>
  <si>
    <t>Resposta inicial da sua simulação, caso a resposta seja não</t>
  </si>
  <si>
    <t xml:space="preserve">Qual valor ideal para investir mensalmente? </t>
  </si>
  <si>
    <t>% que o investimento mensal representa do seu salário</t>
  </si>
  <si>
    <t xml:space="preserve">Resultado da sua simulação caso queira seguir com a sua capacidade de investimento? </t>
  </si>
  <si>
    <t>Para retorno mensal de</t>
  </si>
  <si>
    <t>Caso queira insistir no seu investimento proposto inicialmente, aqui estará o resultado de tempo e patrimônio que precisará alcançar.</t>
  </si>
  <si>
    <t xml:space="preserve">E valor investido mensal de </t>
  </si>
  <si>
    <t>O retorno será em (anos)</t>
  </si>
  <si>
    <t xml:space="preserve">O patrimônio acumulado será 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</si>
</sst>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%"/>
  </numFmts>
  <fonts count="13">
    <font>
      <sz val="10.0"/>
      <color rgb="FF000000"/>
      <name val="Arial"/>
      <scheme val="minor"/>
    </font>
    <font>
      <color theme="1"/>
      <name val="EB Garamond"/>
    </font>
    <font>
      <color theme="1"/>
      <name val="Arial"/>
      <scheme val="minor"/>
    </font>
    <font>
      <b/>
      <sz val="12.0"/>
      <color rgb="FFFFFFFF"/>
      <name val="EB Garamond"/>
    </font>
    <font>
      <b/>
      <sz val="12.0"/>
      <color theme="1"/>
      <name val="EB Garamond"/>
    </font>
    <font>
      <b/>
      <color theme="1"/>
      <name val="Arial"/>
      <scheme val="minor"/>
    </font>
    <font>
      <b/>
      <sz val="18.0"/>
      <color rgb="FFFFFFFF"/>
      <name val="EB Garamond"/>
    </font>
    <font/>
    <font>
      <b/>
      <sz val="14.0"/>
      <color rgb="FFFFFFFF"/>
      <name val="EB Garamond"/>
    </font>
    <font>
      <b/>
      <sz val="9.0"/>
      <color theme="1"/>
      <name val="EB Garamond"/>
    </font>
    <font>
      <b/>
      <sz val="18.0"/>
      <color theme="1"/>
      <name val="EB Garamond"/>
    </font>
    <font>
      <b/>
      <color theme="1"/>
      <name val="EB Garamond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2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FFFFFF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thin">
        <color rgb="FFFFFFFF"/>
      </top>
      <bottom style="thin">
        <color rgb="FFFFFFFF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thin">
        <color rgb="FFFFFFFF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1" fillId="0" fontId="1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3" fillId="2" fontId="6" numFmtId="0" xfId="0" applyAlignment="1" applyBorder="1" applyFill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6" fillId="2" fontId="8" numFmtId="0" xfId="0" applyAlignment="1" applyBorder="1" applyFill="1" applyFont="1">
      <alignment readingOrder="0"/>
    </xf>
    <xf borderId="7" fillId="0" fontId="7" numFmtId="0" xfId="0" applyBorder="1" applyFont="1"/>
    <xf borderId="8" fillId="0" fontId="1" numFmtId="0" xfId="0" applyBorder="1" applyFont="1"/>
    <xf borderId="3" fillId="0" fontId="1" numFmtId="0" xfId="0" applyBorder="1" applyFont="1"/>
    <xf borderId="9" fillId="0" fontId="4" numFmtId="0" xfId="0" applyAlignment="1" applyBorder="1" applyFont="1">
      <alignment readingOrder="0"/>
    </xf>
    <xf borderId="9" fillId="3" fontId="4" numFmtId="164" xfId="0" applyAlignment="1" applyBorder="1" applyFill="1" applyFont="1" applyNumberFormat="1">
      <alignment horizontal="center" readingOrder="0"/>
    </xf>
    <xf borderId="4" fillId="0" fontId="1" numFmtId="0" xfId="0" applyBorder="1" applyFont="1"/>
    <xf borderId="10" fillId="3" fontId="9" numFmtId="0" xfId="0" applyAlignment="1" applyBorder="1" applyFill="1" applyFont="1">
      <alignment readingOrder="0" shrinkToFit="0" vertical="center" wrapText="1"/>
    </xf>
    <xf borderId="10" fillId="0" fontId="10" numFmtId="10" xfId="0" applyAlignment="1" applyBorder="1" applyFont="1" applyNumberFormat="1">
      <alignment horizontal="center" shrinkToFit="0" vertical="center" wrapText="1"/>
    </xf>
    <xf borderId="5" fillId="0" fontId="1" numFmtId="0" xfId="0" applyBorder="1" applyFont="1"/>
    <xf borderId="11" fillId="0" fontId="4" numFmtId="0" xfId="0" applyAlignment="1" applyBorder="1" applyFont="1">
      <alignment readingOrder="0"/>
    </xf>
    <xf borderId="11" fillId="3" fontId="4" numFmtId="164" xfId="0" applyAlignment="1" applyBorder="1" applyFill="1" applyFont="1" applyNumberFormat="1">
      <alignment horizontal="center" readingOrder="0"/>
    </xf>
    <xf borderId="12" fillId="0" fontId="7" numFmtId="0" xfId="0" applyBorder="1" applyFont="1"/>
    <xf borderId="13" fillId="0" fontId="4" numFmtId="0" xfId="0" applyAlignment="1" applyBorder="1" applyFont="1">
      <alignment readingOrder="0"/>
    </xf>
    <xf borderId="13" fillId="3" fontId="4" numFmtId="164" xfId="0" applyAlignment="1" applyBorder="1" applyFill="1" applyFont="1" applyNumberFormat="1">
      <alignment horizontal="center" readingOrder="0"/>
    </xf>
    <xf borderId="14" fillId="0" fontId="7" numFmtId="0" xfId="0" applyBorder="1" applyFont="1"/>
    <xf borderId="15" fillId="0" fontId="1" numFmtId="0" xfId="0" applyBorder="1" applyFont="1"/>
    <xf borderId="15" fillId="0" fontId="1" numFmtId="0" xfId="0" applyAlignment="1" applyBorder="1" applyFont="1">
      <alignment horizontal="center"/>
    </xf>
    <xf borderId="16" fillId="0" fontId="1" numFmtId="0" xfId="0" applyBorder="1" applyFont="1"/>
    <xf borderId="16" fillId="0" fontId="1" numFmtId="0" xfId="0" applyAlignment="1" applyBorder="1" applyFont="1">
      <alignment horizontal="center"/>
    </xf>
    <xf borderId="17" fillId="0" fontId="4" numFmtId="0" xfId="0" applyAlignment="1" applyBorder="1" applyFont="1">
      <alignment readingOrder="0"/>
    </xf>
    <xf borderId="17" fillId="3" fontId="11" numFmtId="0" xfId="0" applyAlignment="1" applyBorder="1" applyFill="1" applyFont="1">
      <alignment horizontal="center" readingOrder="0"/>
    </xf>
    <xf borderId="18" fillId="0" fontId="11" numFmtId="0" xfId="0" applyAlignment="1" applyBorder="1" applyFont="1">
      <alignment readingOrder="0" shrinkToFit="0" vertical="center" wrapText="1"/>
    </xf>
    <xf borderId="19" fillId="0" fontId="7" numFmtId="0" xfId="0" applyBorder="1" applyFont="1"/>
    <xf borderId="17" fillId="3" fontId="4" numFmtId="0" xfId="0" applyAlignment="1" applyBorder="1" applyFill="1" applyFont="1">
      <alignment horizontal="center"/>
    </xf>
    <xf borderId="18" fillId="0" fontId="7" numFmtId="0" xfId="0" applyBorder="1" applyFont="1"/>
    <xf borderId="14" fillId="0" fontId="4" numFmtId="0" xfId="0" applyAlignment="1" applyBorder="1" applyFont="1">
      <alignment readingOrder="0"/>
    </xf>
    <xf borderId="14" fillId="3" fontId="4" numFmtId="0" xfId="0" applyAlignment="1" applyBorder="1" applyFill="1" applyFont="1">
      <alignment horizontal="center"/>
    </xf>
    <xf borderId="20" fillId="0" fontId="7" numFmtId="0" xfId="0" applyBorder="1" applyFont="1"/>
    <xf borderId="21" fillId="0" fontId="7" numFmtId="0" xfId="0" applyBorder="1" applyFont="1"/>
    <xf borderId="22" fillId="2" fontId="6" numFmtId="0" xfId="0" applyAlignment="1" applyBorder="1" applyFill="1" applyFont="1">
      <alignment horizontal="center" readingOrder="0"/>
    </xf>
    <xf borderId="22" fillId="0" fontId="7" numFmtId="0" xfId="0" applyBorder="1" applyFont="1"/>
    <xf borderId="21" fillId="0" fontId="1" numFmtId="0" xfId="0" applyBorder="1" applyFont="1"/>
    <xf borderId="21" fillId="0" fontId="1" numFmtId="0" xfId="0" applyAlignment="1" applyBorder="1" applyFont="1">
      <alignment horizontal="center"/>
    </xf>
    <xf borderId="10" fillId="3" fontId="11" numFmtId="0" xfId="0" applyAlignment="1" applyBorder="1" applyFill="1" applyFont="1">
      <alignment readingOrder="0" shrinkToFit="0" vertical="center" wrapText="1"/>
    </xf>
    <xf borderId="10" fillId="0" fontId="10" numFmtId="165" xfId="0" applyAlignment="1" applyBorder="1" applyFont="1" applyNumberFormat="1">
      <alignment horizontal="center" vertical="center"/>
    </xf>
    <xf borderId="13" fillId="3" fontId="4" numFmtId="3" xfId="0" applyAlignment="1" applyBorder="1" applyFill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3" fillId="2" fontId="3" numFmtId="0" xfId="0" applyAlignment="1" applyBorder="1" applyFill="1" applyFont="1">
      <alignment readingOrder="0"/>
    </xf>
    <xf borderId="8" fillId="0" fontId="1" numFmtId="0" xfId="0" applyAlignment="1" applyBorder="1" applyFont="1">
      <alignment horizontal="center"/>
    </xf>
    <xf borderId="17" fillId="0" fontId="4" numFmtId="0" xfId="0" applyAlignment="1" applyBorder="1" applyFont="1">
      <alignment readingOrder="0" vertical="center"/>
    </xf>
    <xf borderId="17" fillId="3" fontId="11" numFmtId="164" xfId="0" applyAlignment="1" applyBorder="1" applyFill="1" applyFont="1" applyNumberFormat="1">
      <alignment horizontal="center" vertical="center"/>
    </xf>
    <xf borderId="17" fillId="3" fontId="11" numFmtId="0" xfId="0" applyAlignment="1" applyBorder="1" applyFill="1" applyFont="1">
      <alignment readingOrder="0" shrinkToFit="0" vertical="center" wrapText="1"/>
    </xf>
    <xf borderId="23" fillId="0" fontId="12" numFmtId="10" xfId="0" applyAlignment="1" applyBorder="1" applyFont="1" applyNumberFormat="1">
      <alignment horizontal="center" vertical="center"/>
    </xf>
    <xf borderId="21" fillId="0" fontId="2" numFmtId="0" xfId="0" applyBorder="1" applyFont="1"/>
    <xf borderId="6" fillId="3" fontId="4" numFmtId="0" xfId="0" applyAlignment="1" applyBorder="1" applyFill="1" applyFont="1">
      <alignment horizontal="center" readingOrder="0" shrinkToFit="0" vertical="center" wrapText="1"/>
    </xf>
    <xf borderId="13" fillId="3" fontId="4" numFmtId="0" xfId="0" applyAlignment="1" applyBorder="1" applyFill="1" applyFont="1">
      <alignment horizontal="center"/>
    </xf>
    <xf borderId="14" fillId="3" fontId="4" numFmtId="0" xfId="0" applyAlignment="1" applyBorder="1" applyFill="1" applyFont="1">
      <alignment readingOrder="0"/>
    </xf>
    <xf borderId="14" fillId="3" fontId="4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0229850" cy="3552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  <col customWidth="1" min="3" max="3" width="19.25"/>
    <col customWidth="1" min="5" max="5" width="22.38"/>
  </cols>
  <sheetData>
    <row r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7" t="s">
        <v>9</v>
      </c>
      <c r="C22" s="8"/>
      <c r="D22" s="8"/>
      <c r="E22" s="8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0" t="s">
        <v>10</v>
      </c>
      <c r="C24" s="11"/>
      <c r="D24" s="1"/>
      <c r="E24" s="12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/>
      <c r="B25" s="14" t="s">
        <v>11</v>
      </c>
      <c r="C25" s="15">
        <v>6300.0</v>
      </c>
      <c r="D25" s="16"/>
      <c r="E25" s="17" t="s">
        <v>12</v>
      </c>
      <c r="F25" s="18">
        <f>($C$26/$C$25)</f>
        <v>0.05555555556</v>
      </c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/>
      <c r="B26" s="20" t="s">
        <v>13</v>
      </c>
      <c r="C26" s="21">
        <v>350.0</v>
      </c>
      <c r="D26" s="16"/>
      <c r="E26" s="22"/>
      <c r="F26" s="22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/>
      <c r="B27" s="23" t="s">
        <v>14</v>
      </c>
      <c r="C27" s="24">
        <v>2500.0</v>
      </c>
      <c r="D27" s="16"/>
      <c r="E27" s="25"/>
      <c r="F27" s="25"/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6"/>
      <c r="C28" s="27"/>
      <c r="D28" s="1"/>
      <c r="E28" s="26"/>
      <c r="F28" s="2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" t="s">
        <v>15</v>
      </c>
      <c r="C29" s="8"/>
      <c r="D29" s="8"/>
      <c r="E29" s="8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/>
      <c r="C30" s="29"/>
      <c r="D30" s="1"/>
      <c r="E30" s="26"/>
      <c r="F30" s="2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/>
      <c r="B31" s="30" t="s">
        <v>16</v>
      </c>
      <c r="C31" s="31" t="s">
        <v>5</v>
      </c>
      <c r="D31" s="19"/>
      <c r="E31" s="32" t="s">
        <v>17</v>
      </c>
      <c r="F31" s="3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3"/>
      <c r="B32" s="30" t="s">
        <v>18</v>
      </c>
      <c r="C32" s="34" t="str">
        <f>VLOOKUP($C$31,Normalize!B3:D6,3,0)</f>
        <v>Misto / Carteira IFIX</v>
      </c>
      <c r="D32" s="19"/>
      <c r="E32" s="35"/>
      <c r="F32" s="3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3"/>
      <c r="B33" s="36" t="s">
        <v>19</v>
      </c>
      <c r="C33" s="37">
        <f>VLOOKUP($C$31,Normalize!$B$3:$D$6,2,0)/100</f>
        <v>0.11</v>
      </c>
      <c r="D33" s="19"/>
      <c r="E33" s="38"/>
      <c r="F33" s="3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6"/>
      <c r="C34" s="2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0" t="s">
        <v>20</v>
      </c>
      <c r="C35" s="41"/>
      <c r="D35" s="41"/>
      <c r="E35" s="41"/>
      <c r="F35" s="3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2"/>
      <c r="C36" s="43"/>
      <c r="D36" s="42"/>
      <c r="E36" s="42"/>
      <c r="F36" s="4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0" t="s">
        <v>10</v>
      </c>
      <c r="C37" s="11"/>
      <c r="D37" s="1"/>
      <c r="E37" s="12"/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3"/>
      <c r="B38" s="14" t="s">
        <v>21</v>
      </c>
      <c r="C38" s="15">
        <v>2500.0</v>
      </c>
      <c r="D38" s="16"/>
      <c r="E38" s="44" t="s">
        <v>22</v>
      </c>
      <c r="F38" s="45">
        <f>($C$38/$C$25)</f>
        <v>0.3968253968</v>
      </c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3"/>
      <c r="B39" s="23" t="s">
        <v>23</v>
      </c>
      <c r="C39" s="46">
        <v>8.0</v>
      </c>
      <c r="D39" s="16"/>
      <c r="E39" s="25"/>
      <c r="F39" s="25"/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6"/>
      <c r="C40" s="47"/>
      <c r="D40" s="1"/>
      <c r="E40" s="26"/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8" t="s">
        <v>24</v>
      </c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/>
      <c r="C43" s="49"/>
      <c r="D43" s="1"/>
      <c r="E43" s="12"/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3"/>
      <c r="B44" s="50" t="s">
        <v>25</v>
      </c>
      <c r="C44" s="51">
        <f>PMT( ((1 + $C$33)^(1/12) - 1) , 8*12 , -$C$27 , -($C$48 / ((1 + $C$33)^(1/12) - 1)) )</f>
        <v>1954.962948</v>
      </c>
      <c r="D44" s="16"/>
      <c r="E44" s="52" t="s">
        <v>26</v>
      </c>
      <c r="F44" s="53">
        <f>C44/C25</f>
        <v>0.310311579</v>
      </c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6"/>
      <c r="C45" s="27"/>
      <c r="D45" s="13"/>
      <c r="E45" s="26"/>
      <c r="F45" s="5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8" t="s">
        <v>27</v>
      </c>
      <c r="C46" s="9"/>
      <c r="D46" s="1"/>
      <c r="E46" s="2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2"/>
      <c r="C47" s="4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3"/>
      <c r="B48" s="14" t="s">
        <v>28</v>
      </c>
      <c r="C48" s="15">
        <f>$C$38</f>
        <v>2500</v>
      </c>
      <c r="D48" s="19"/>
      <c r="E48" s="55" t="s">
        <v>29</v>
      </c>
      <c r="F48" s="1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3"/>
      <c r="B49" s="20" t="s">
        <v>30</v>
      </c>
      <c r="C49" s="21">
        <f>$C$26</f>
        <v>350</v>
      </c>
      <c r="D49" s="19"/>
      <c r="E49" s="35"/>
      <c r="F49" s="3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3"/>
      <c r="B50" s="23" t="s">
        <v>31</v>
      </c>
      <c r="C50" s="56">
        <f>ROUND( -NPER( ((1 + $C$33)^(1/12) - 1) , $C$49 , $C$27 , -($C$48 / ((1 + $C$33)^(1/12) - 1)) ) / 12 , 1 )*-1</f>
        <v>19.5</v>
      </c>
      <c r="D50" s="19"/>
      <c r="E50" s="35"/>
      <c r="F50" s="3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3"/>
      <c r="B51" s="57" t="s">
        <v>32</v>
      </c>
      <c r="C51" s="58">
        <f>$C$48 / ((1 + $C$33)^(1/12) - 1)</f>
        <v>286218.2318</v>
      </c>
      <c r="D51" s="19"/>
      <c r="E51" s="38"/>
      <c r="F51" s="3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6"/>
      <c r="C52" s="2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3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3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3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3">
    <mergeCell ref="B37:C37"/>
    <mergeCell ref="E38:E39"/>
    <mergeCell ref="F38:F39"/>
    <mergeCell ref="B42:C42"/>
    <mergeCell ref="B46:C46"/>
    <mergeCell ref="E48:F51"/>
    <mergeCell ref="B22:F22"/>
    <mergeCell ref="B24:C24"/>
    <mergeCell ref="E25:E27"/>
    <mergeCell ref="F25:F27"/>
    <mergeCell ref="B29:F29"/>
    <mergeCell ref="E31:F33"/>
    <mergeCell ref="B35:F35"/>
  </mergeCells>
  <dataValidations>
    <dataValidation type="list" allowBlank="1" sqref="C31">
      <formula1>"Conservador,Moderado,Arrojado"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75"/>
    <col customWidth="1" min="3" max="3" width="20.0"/>
    <col customWidth="1" min="4" max="4" width="16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0</v>
      </c>
      <c r="C3" s="4" t="s">
        <v>1</v>
      </c>
      <c r="D3" s="4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3</v>
      </c>
      <c r="C4" s="5">
        <v>8.5</v>
      </c>
      <c r="D4" s="6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5</v>
      </c>
      <c r="C5" s="5">
        <v>11.0</v>
      </c>
      <c r="D5" s="6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7</v>
      </c>
      <c r="C6" s="5">
        <v>13.0</v>
      </c>
      <c r="D6" s="6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